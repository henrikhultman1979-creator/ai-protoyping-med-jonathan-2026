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vak - blandade filer\Prototyp\"/>
    </mc:Choice>
  </mc:AlternateContent>
  <xr:revisionPtr revIDLastSave="0" documentId="8_{02CC0857-179E-443A-8511-D67CAA156956}" xr6:coauthVersionLast="47" xr6:coauthVersionMax="47" xr10:uidLastSave="{00000000-0000-0000-0000-000000000000}"/>
  <bookViews>
    <workbookView xWindow="26460" yWindow="0" windowWidth="15105" windowHeight="20985" xr2:uid="{00000000-000D-0000-FFFF-FFFF00000000}"/>
  </bookViews>
  <sheets>
    <sheet name="Blad1" sheetId="1" r:id="rId1"/>
    <sheet name="Tabellexempel" sheetId="2" r:id="rId2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F3" i="2"/>
  <c r="F4" i="2" s="1"/>
  <c r="F5" i="2" s="1"/>
  <c r="F6" i="2" s="1"/>
  <c r="E3" i="2"/>
  <c r="E4" i="2" s="1"/>
  <c r="E5" i="2" s="1"/>
  <c r="E6" i="2" s="1"/>
  <c r="D3" i="2"/>
  <c r="D4" i="2" s="1"/>
  <c r="D5" i="2" s="1"/>
  <c r="D6" i="2" s="1"/>
  <c r="C3" i="2"/>
  <c r="C4" i="2" s="1"/>
  <c r="C5" i="2" s="1"/>
  <c r="C6" i="2" s="1"/>
  <c r="B3" i="2"/>
  <c r="G3" i="2" s="1"/>
  <c r="B4" i="2" l="1"/>
  <c r="B5" i="2" s="1"/>
  <c r="B6" i="2" s="1"/>
  <c r="G6" i="2" s="1"/>
  <c r="G4" i="2"/>
  <c r="F7" i="2"/>
  <c r="E7" i="2"/>
  <c r="D7" i="2"/>
  <c r="C7" i="2"/>
  <c r="B7" i="2"/>
  <c r="G5" i="2" l="1"/>
</calcChain>
</file>

<file path=xl/sharedStrings.xml><?xml version="1.0" encoding="utf-8"?>
<sst xmlns="http://schemas.openxmlformats.org/spreadsheetml/2006/main" count="75" uniqueCount="74">
  <si>
    <t>Serie B</t>
  </si>
  <si>
    <t>Serie 3</t>
  </si>
  <si>
    <t>Serie 4</t>
  </si>
  <si>
    <t>Serie 5</t>
  </si>
  <si>
    <t>Avd 01</t>
  </si>
  <si>
    <t>Serie A</t>
  </si>
  <si>
    <t>Avd 02</t>
  </si>
  <si>
    <t>Avd 03</t>
  </si>
  <si>
    <t>Avd 04</t>
  </si>
  <si>
    <t>Avd 05</t>
  </si>
  <si>
    <t>Totalt</t>
  </si>
  <si>
    <t>Val i dropdown</t>
  </si>
  <si>
    <t>ALF43P1</t>
  </si>
  <si>
    <t>ALF43P1 / 7:2P1</t>
  </si>
  <si>
    <t>ALF43P2</t>
  </si>
  <si>
    <t>ALF43P2 / 7:2P2</t>
  </si>
  <si>
    <t xml:space="preserve">ALF43P3A / 7:2P3 </t>
  </si>
  <si>
    <t>ALF43P3B / 7:2P3</t>
  </si>
  <si>
    <t>ALF43P4 / 7:2P4</t>
  </si>
  <si>
    <t>ALF43P5 / 7:2</t>
  </si>
  <si>
    <t>ALF43AP1 / 7:3P1</t>
  </si>
  <si>
    <t>ALF43AP2 / 7:3P2</t>
  </si>
  <si>
    <t>ALF43AP3 / 7:3P3</t>
  </si>
  <si>
    <t>ALF43BP1 /  7:4P1</t>
  </si>
  <si>
    <t>ALF43BP2 / 7:4P2</t>
  </si>
  <si>
    <t>ALF43BP3 / 7:4P3</t>
  </si>
  <si>
    <t>ALF43BP4 / 7:4P4</t>
  </si>
  <si>
    <t>ALF9P1 / 2:1P1</t>
  </si>
  <si>
    <t>ALF9P1A / 2:1P1A</t>
  </si>
  <si>
    <t>ALF9P1B / 2:1P1B</t>
  </si>
  <si>
    <t>ALF9P2 / 2:1P2</t>
  </si>
  <si>
    <t>ALF9P3 / 2:1 P3</t>
  </si>
  <si>
    <t>ALF9SKAT / 2:1SKAT</t>
  </si>
  <si>
    <t>ALF9POS / 2:1POS</t>
  </si>
  <si>
    <t>ALF43P3A</t>
  </si>
  <si>
    <t>ALF43P3B</t>
  </si>
  <si>
    <t>ALF43P4</t>
  </si>
  <si>
    <t>ALF43P5</t>
  </si>
  <si>
    <t>ALF43AP1</t>
  </si>
  <si>
    <t>ALF43AP2</t>
  </si>
  <si>
    <t>ALF43AP3</t>
  </si>
  <si>
    <t>ALF43BP1</t>
  </si>
  <si>
    <t>ALF43BP2</t>
  </si>
  <si>
    <t>ALF43BP3</t>
  </si>
  <si>
    <t>ALF43BP4</t>
  </si>
  <si>
    <t>ALF9P1</t>
  </si>
  <si>
    <t>ALF9P1A</t>
  </si>
  <si>
    <t>ALF9P1B</t>
  </si>
  <si>
    <t>ALF9P2</t>
  </si>
  <si>
    <t>ALF9P3</t>
  </si>
  <si>
    <t>ALF9SKAT</t>
  </si>
  <si>
    <t>ALF9POS</t>
  </si>
  <si>
    <t>Värde i MessageType</t>
  </si>
  <si>
    <t>Värde i MessageTypeText</t>
  </si>
  <si>
    <t>Inte arbetsför och oförhindrad</t>
  </si>
  <si>
    <t>Inte arbetsför och oförhindrad – tillfälligt sjuk</t>
  </si>
  <si>
    <t>Inte arbetsför och oförhindrad – tillfälligt förhindrad</t>
  </si>
  <si>
    <t>Inte arbetsför och oförhindrad – ny sökandekategori</t>
  </si>
  <si>
    <t>Inte anmäld hos AF</t>
  </si>
  <si>
    <t>Inte till arbetsmarknadens förfogande</t>
  </si>
  <si>
    <t>Bedöms åter uppfylla de allmänna villkore</t>
  </si>
  <si>
    <t>Inte medverkat till att upprätta en handlingsplan.</t>
  </si>
  <si>
    <t>Inte lämnat in aktivitetsrapport i tid.</t>
  </si>
  <si>
    <t>Inte besökt/kontaktat AF</t>
  </si>
  <si>
    <t>Inte besökt/kontaktat leverantör.</t>
  </si>
  <si>
    <t>Inte sökt anvisat arbete</t>
  </si>
  <si>
    <t>Inte aktivt sökt lämpliga arbeten</t>
  </si>
  <si>
    <t>Avvisat erbjudet arbete.</t>
  </si>
  <si>
    <t>Orsakat att man inte anställts</t>
  </si>
  <si>
    <t>Avvisat erbjudet program</t>
  </si>
  <si>
    <t>Lämnat arbete utan giltig anledning</t>
  </si>
  <si>
    <t>Skiljts från arbetet pga otillbörligt uppförande</t>
  </si>
  <si>
    <t>Lämnat program utan giltig anledning</t>
  </si>
  <si>
    <t>Skiljts från program pga otillbörligt uppförande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</si>
</sst>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2"/>
      <name val="Calibri"/>
      <family val="1"/>
      <scheme val="major"/>
    </font>
    <font>
      <sz val="16"/>
      <name val="Calibri"/>
      <family val="1"/>
      <scheme val="major"/>
    </font>
    <font>
      <i/>
      <sz val="12"/>
      <name val="Calibri"/>
      <family val="2"/>
      <scheme val="minor"/>
    </font>
    <font>
      <sz val="12"/>
      <name val="Times New Roman"/>
      <family val="1"/>
    </font>
    <font>
      <sz val="36"/>
      <name val="Calibri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5"/>
      </bottom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/>
      <bottom/>
      <diagonal/>
    </border>
  </borders>
  <cellStyleXfs count="23">
    <xf numFmtId="0" fontId="0" fillId="0" borderId="0"/>
    <xf numFmtId="0" fontId="1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1" applyNumberFormat="0" applyAlignment="0" applyProtection="0"/>
    <xf numFmtId="0" fontId="7" fillId="6" borderId="2" applyNumberFormat="0" applyAlignment="0" applyProtection="0"/>
    <xf numFmtId="0" fontId="8" fillId="6" borderId="1" applyNumberFormat="0" applyAlignment="0" applyProtection="0"/>
    <xf numFmtId="0" fontId="9" fillId="0" borderId="3" applyNumberFormat="0" applyFill="0" applyAlignment="0" applyProtection="0"/>
    <xf numFmtId="0" fontId="10" fillId="7" borderId="4" applyNumberFormat="0" applyAlignment="0" applyProtection="0"/>
    <xf numFmtId="0" fontId="11" fillId="0" borderId="0" applyNumberFormat="0" applyFill="0" applyBorder="0" applyAlignment="0" applyProtection="0"/>
    <xf numFmtId="0" fontId="2" fillId="8" borderId="5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3" fillId="0" borderId="0">
      <alignment vertical="top"/>
    </xf>
    <xf numFmtId="0" fontId="14" fillId="0" borderId="0">
      <alignment vertical="top"/>
    </xf>
    <xf numFmtId="0" fontId="13" fillId="0" borderId="7">
      <alignment horizontal="right"/>
    </xf>
    <xf numFmtId="0" fontId="13" fillId="0" borderId="8">
      <alignment vertical="top"/>
    </xf>
    <xf numFmtId="0" fontId="13" fillId="0" borderId="9" applyBorder="0">
      <alignment horizontal="right" vertical="top"/>
    </xf>
  </cellStyleXfs>
  <cellXfs count="7">
    <xf numFmtId="0" fontId="0" fillId="0" borderId="0" xfId="0"/>
    <xf numFmtId="0" fontId="13" fillId="0" borderId="0" xfId="18">
      <alignment vertical="top"/>
    </xf>
    <xf numFmtId="0" fontId="14" fillId="0" borderId="0" xfId="19">
      <alignment vertical="top"/>
    </xf>
    <xf numFmtId="0" fontId="13" fillId="0" borderId="7" xfId="20">
      <alignment horizontal="right"/>
    </xf>
    <xf numFmtId="0" fontId="13" fillId="0" borderId="8" xfId="21">
      <alignment vertical="top"/>
    </xf>
    <xf numFmtId="0" fontId="13" fillId="0" borderId="9" xfId="22">
      <alignment horizontal="right" vertical="top"/>
    </xf>
    <xf numFmtId="0" fontId="1" fillId="0" borderId="0" xfId="0" applyFont="1"/>
  </cellXfs>
  <cellStyles count="23">
    <cellStyle name="01 Tabellhuvud" xfId="20" xr:uid="{00000000-0005-0000-0000-000000000000}"/>
    <cellStyle name="02 Tabellrubrik" xfId="18" xr:uid="{00000000-0005-0000-0000-000001000000}"/>
    <cellStyle name="03 Tabelltext" xfId="19" xr:uid="{00000000-0005-0000-0000-000002000000}"/>
    <cellStyle name="04 Tabellsumma Rad" xfId="21" xr:uid="{00000000-0005-0000-0000-000003000000}"/>
    <cellStyle name="05 Tabellsumma Kolumn" xfId="22" xr:uid="{00000000-0005-0000-0000-000004000000}"/>
    <cellStyle name="Anteckning" xfId="15" builtinId="10" hidden="1"/>
    <cellStyle name="Beräkning" xfId="11" builtinId="22" hidden="1"/>
    <cellStyle name="Bra" xfId="6" builtinId="26" hidden="1"/>
    <cellStyle name="Dålig" xfId="7" builtinId="27" hidden="1"/>
    <cellStyle name="Förklarande text" xfId="16" builtinId="53" hidden="1"/>
    <cellStyle name="Indata" xfId="9" builtinId="20" hidden="1"/>
    <cellStyle name="Kontrollcell" xfId="13" builtinId="23" hidden="1"/>
    <cellStyle name="Länkad cell" xfId="12" builtinId="24" hidden="1"/>
    <cellStyle name="Neutral" xfId="8" builtinId="28" hidde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hidden="1" customBuiltin="1"/>
    <cellStyle name="Utdata" xfId="10" builtinId="21" hidden="1"/>
    <cellStyle name="Varningstext" xfId="14" builtinId="11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veriges akassor">
  <a:themeElements>
    <a:clrScheme name="Sveriges A-kassor">
      <a:dk1>
        <a:srgbClr val="000000"/>
      </a:dk1>
      <a:lt1>
        <a:sysClr val="window" lastClr="FFFFFF"/>
      </a:lt1>
      <a:dk2>
        <a:srgbClr val="3C3C3B"/>
      </a:dk2>
      <a:lt2>
        <a:srgbClr val="E9E9E9"/>
      </a:lt2>
      <a:accent1>
        <a:srgbClr val="6691B8"/>
      </a:accent1>
      <a:accent2>
        <a:srgbClr val="00729E"/>
      </a:accent2>
      <a:accent3>
        <a:srgbClr val="004F87"/>
      </a:accent3>
      <a:accent4>
        <a:srgbClr val="123163"/>
      </a:accent4>
      <a:accent5>
        <a:srgbClr val="BF4584"/>
      </a:accent5>
      <a:accent6>
        <a:srgbClr val="290029"/>
      </a:accent6>
      <a:hlink>
        <a:srgbClr val="E50059"/>
      </a:hlink>
      <a:folHlink>
        <a:srgbClr val="BF4584"/>
      </a:folHlink>
    </a:clrScheme>
    <a:fontScheme name="Sveriges a-kassor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veriges akassor" id="{7363F05D-015E-4A6D-8391-78AB41C1DD1C}" vid="{043C4ED4-A161-4C66-AB6A-3D763A4B4085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C21"/>
  <sheetViews>
    <sheetView tabSelected="1" zoomScaleNormal="100" workbookViewId="0">
      <selection activeCell="C22" sqref="C22"/>
    </sheetView>
  </sheetViews>
  <sheetFormatPr defaultRowHeight="15" x14ac:dyDescent="0.25"/>
  <cols>
    <col min="1" max="1" width="22" customWidth="1"/>
    <col min="2" max="2" width="20" bestFit="1" customWidth="1"/>
    <col min="3" max="3" width="28.28515625" bestFit="1" customWidth="1"/>
  </cols>
  <sheetData>
    <row r="1" spans="1:3" x14ac:dyDescent="0.25">
      <c r="A1" s="6" t="s">
        <v>11</v>
      </c>
      <c r="B1" t="s">
        <v>52</v>
      </c>
      <c r="C1" t="s">
        <v>53</v>
      </c>
    </row>
    <row r="2" spans="1:3" x14ac:dyDescent="0.25">
      <c r="A2" t="s">
        <v>13</v>
      </c>
      <c r="B2" t="s">
        <v>12</v>
      </c>
      <c r="C2" t="s">
        <v>61</v>
      </c>
    </row>
    <row r="3" spans="1:3" x14ac:dyDescent="0.25">
      <c r="A3" t="s">
        <v>15</v>
      </c>
      <c r="B3" t="s">
        <v>14</v>
      </c>
      <c r="C3" t="s">
        <v>62</v>
      </c>
    </row>
    <row r="4" spans="1:3" x14ac:dyDescent="0.25">
      <c r="A4" t="s">
        <v>16</v>
      </c>
      <c r="B4" t="s">
        <v>34</v>
      </c>
      <c r="C4" t="s">
        <v>63</v>
      </c>
    </row>
    <row r="5" spans="1:3" x14ac:dyDescent="0.25">
      <c r="A5" t="s">
        <v>17</v>
      </c>
      <c r="B5" t="s">
        <v>35</v>
      </c>
      <c r="C5" t="s">
        <v>64</v>
      </c>
    </row>
    <row r="6" spans="1:3" x14ac:dyDescent="0.25">
      <c r="A6" t="s">
        <v>18</v>
      </c>
      <c r="B6" t="s">
        <v>36</v>
      </c>
      <c r="C6" t="s">
        <v>65</v>
      </c>
    </row>
    <row r="7" spans="1:3" x14ac:dyDescent="0.25">
      <c r="A7" t="s">
        <v>19</v>
      </c>
      <c r="B7" t="s">
        <v>37</v>
      </c>
      <c r="C7" t="s">
        <v>66</v>
      </c>
    </row>
    <row r="8" spans="1:3" x14ac:dyDescent="0.25">
      <c r="A8" t="s">
        <v>20</v>
      </c>
      <c r="B8" t="s">
        <v>38</v>
      </c>
      <c r="C8" t="s">
        <v>67</v>
      </c>
    </row>
    <row r="9" spans="1:3" x14ac:dyDescent="0.25">
      <c r="A9" t="s">
        <v>21</v>
      </c>
      <c r="B9" t="s">
        <v>39</v>
      </c>
      <c r="C9" t="s">
        <v>68</v>
      </c>
    </row>
    <row r="10" spans="1:3" x14ac:dyDescent="0.25">
      <c r="A10" t="s">
        <v>22</v>
      </c>
      <c r="B10" t="s">
        <v>40</v>
      </c>
      <c r="C10" t="s">
        <v>69</v>
      </c>
    </row>
    <row r="11" spans="1:3" x14ac:dyDescent="0.25">
      <c r="A11" t="s">
        <v>23</v>
      </c>
      <c r="B11" t="s">
        <v>41</v>
      </c>
      <c r="C11" t="s">
        <v>70</v>
      </c>
    </row>
    <row r="12" spans="1:3" x14ac:dyDescent="0.25">
      <c r="A12" t="s">
        <v>24</v>
      </c>
      <c r="B12" t="s">
        <v>42</v>
      </c>
      <c r="C12" t="s">
        <v>71</v>
      </c>
    </row>
    <row r="13" spans="1:3" x14ac:dyDescent="0.25">
      <c r="A13" t="s">
        <v>25</v>
      </c>
      <c r="B13" t="s">
        <v>43</v>
      </c>
      <c r="C13" t="s">
        <v>72</v>
      </c>
    </row>
    <row r="14" spans="1:3" x14ac:dyDescent="0.25">
      <c r="A14" t="s">
        <v>26</v>
      </c>
      <c r="B14" t="s">
        <v>44</v>
      </c>
      <c r="C14" t="s">
        <v>73</v>
      </c>
    </row>
    <row r="15" spans="1:3" x14ac:dyDescent="0.25">
      <c r="A15" t="s">
        <v>27</v>
      </c>
      <c r="B15" t="s">
        <v>45</v>
      </c>
      <c r="C15" t="s">
        <v>54</v>
      </c>
    </row>
    <row r="16" spans="1:3" x14ac:dyDescent="0.25">
      <c r="A16" t="s">
        <v>28</v>
      </c>
      <c r="B16" t="s">
        <v>46</v>
      </c>
      <c r="C16" t="s">
        <v>55</v>
      </c>
    </row>
    <row r="17" spans="1:3" x14ac:dyDescent="0.25">
      <c r="A17" t="s">
        <v>29</v>
      </c>
      <c r="B17" t="s">
        <v>47</v>
      </c>
      <c r="C17" t="s">
        <v>56</v>
      </c>
    </row>
    <row r="18" spans="1:3" x14ac:dyDescent="0.25">
      <c r="A18" t="s">
        <v>30</v>
      </c>
      <c r="B18" t="s">
        <v>48</v>
      </c>
      <c r="C18" t="s">
        <v>58</v>
      </c>
    </row>
    <row r="19" spans="1:3" x14ac:dyDescent="0.25">
      <c r="A19" t="s">
        <v>31</v>
      </c>
      <c r="B19" t="s">
        <v>49</v>
      </c>
      <c r="C19" t="s">
        <v>59</v>
      </c>
    </row>
    <row r="20" spans="1:3" x14ac:dyDescent="0.25">
      <c r="A20" t="s">
        <v>32</v>
      </c>
      <c r="B20" t="s">
        <v>50</v>
      </c>
      <c r="C20" t="s">
        <v>57</v>
      </c>
    </row>
    <row r="21" spans="1:3" x14ac:dyDescent="0.25">
      <c r="A21" t="s">
        <v>33</v>
      </c>
      <c r="B21" t="s">
        <v>51</v>
      </c>
      <c r="C21" t="s">
        <v>60</v>
      </c>
    </row>
  </sheetData>
  <pageMargins left="0.7" right="0.7" top="0.75" bottom="0.75" header="0.3" footer="0.3"/>
  <pageSetup paperSize="9" orientation="portrait" r:id="rId1"/>
  <headerFooter>
    <oddFooter xml:space="preserve">&amp;C_x000D_&amp;1#&amp;"Aptos"&amp;10&amp;K000000 Klassificerad som K2 Intern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7"/>
  <sheetViews>
    <sheetView workbookViewId="0"/>
  </sheetViews>
  <sheetFormatPr defaultRowHeight="15" x14ac:dyDescent="0.25"/>
  <cols>
    <col min="1" max="1" width="10.28515625" customWidth="1"/>
  </cols>
  <sheetData>
    <row r="1" spans="1:7" x14ac:dyDescent="0.25">
      <c r="A1" s="3"/>
      <c r="B1" s="3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10</v>
      </c>
    </row>
    <row r="2" spans="1:7" x14ac:dyDescent="0.25">
      <c r="A2" s="1" t="s">
        <v>4</v>
      </c>
      <c r="B2" s="2">
        <v>10</v>
      </c>
      <c r="C2" s="2">
        <v>12</v>
      </c>
      <c r="D2" s="2">
        <v>14</v>
      </c>
      <c r="E2" s="2">
        <v>16</v>
      </c>
      <c r="F2" s="2">
        <v>18</v>
      </c>
      <c r="G2" s="5">
        <f>SUM(B2:F2)</f>
        <v>70</v>
      </c>
    </row>
    <row r="3" spans="1:7" x14ac:dyDescent="0.25">
      <c r="A3" s="1" t="s">
        <v>6</v>
      </c>
      <c r="B3" s="2">
        <f>B2+5</f>
        <v>15</v>
      </c>
      <c r="C3" s="2">
        <f>C2+4</f>
        <v>16</v>
      </c>
      <c r="D3" s="2">
        <f>D2+6</f>
        <v>20</v>
      </c>
      <c r="E3" s="2">
        <f>E2+7</f>
        <v>23</v>
      </c>
      <c r="F3" s="2">
        <f>F2+7</f>
        <v>25</v>
      </c>
      <c r="G3" s="5">
        <f t="shared" ref="G3:G6" si="0">SUM(B3:F3)</f>
        <v>99</v>
      </c>
    </row>
    <row r="4" spans="1:7" x14ac:dyDescent="0.25">
      <c r="A4" s="1" t="s">
        <v>7</v>
      </c>
      <c r="B4" s="2">
        <f t="shared" ref="B4:B6" si="1">B3+5</f>
        <v>20</v>
      </c>
      <c r="C4" s="2">
        <f t="shared" ref="C4:C6" si="2">C3+4</f>
        <v>20</v>
      </c>
      <c r="D4" s="2">
        <f t="shared" ref="D4:D6" si="3">D3+3</f>
        <v>23</v>
      </c>
      <c r="E4" s="2">
        <f t="shared" ref="E4:E6" si="4">E3+3</f>
        <v>26</v>
      </c>
      <c r="F4" s="2">
        <f t="shared" ref="F4:F6" si="5">F3+3</f>
        <v>28</v>
      </c>
      <c r="G4" s="5">
        <f t="shared" si="0"/>
        <v>117</v>
      </c>
    </row>
    <row r="5" spans="1:7" x14ac:dyDescent="0.25">
      <c r="A5" s="1" t="s">
        <v>8</v>
      </c>
      <c r="B5" s="2">
        <f t="shared" si="1"/>
        <v>25</v>
      </c>
      <c r="C5" s="2">
        <f t="shared" si="2"/>
        <v>24</v>
      </c>
      <c r="D5" s="2">
        <f t="shared" si="3"/>
        <v>26</v>
      </c>
      <c r="E5" s="2">
        <f t="shared" si="4"/>
        <v>29</v>
      </c>
      <c r="F5" s="2">
        <f t="shared" si="5"/>
        <v>31</v>
      </c>
      <c r="G5" s="5">
        <f t="shared" si="0"/>
        <v>135</v>
      </c>
    </row>
    <row r="6" spans="1:7" x14ac:dyDescent="0.25">
      <c r="A6" s="1" t="s">
        <v>9</v>
      </c>
      <c r="B6" s="2">
        <f t="shared" si="1"/>
        <v>30</v>
      </c>
      <c r="C6" s="2">
        <f t="shared" si="2"/>
        <v>28</v>
      </c>
      <c r="D6" s="2">
        <f t="shared" si="3"/>
        <v>29</v>
      </c>
      <c r="E6" s="2">
        <f t="shared" si="4"/>
        <v>32</v>
      </c>
      <c r="F6" s="2">
        <f t="shared" si="5"/>
        <v>34</v>
      </c>
      <c r="G6" s="5">
        <f t="shared" si="0"/>
        <v>153</v>
      </c>
    </row>
    <row r="7" spans="1:7" x14ac:dyDescent="0.25">
      <c r="A7" s="4" t="s">
        <v>10</v>
      </c>
      <c r="B7" s="4">
        <f>SUM(B2:B6)</f>
        <v>100</v>
      </c>
      <c r="C7" s="4">
        <f t="shared" ref="C7:F7" si="6">SUM(C2:C6)</f>
        <v>100</v>
      </c>
      <c r="D7" s="4">
        <f t="shared" si="6"/>
        <v>112</v>
      </c>
      <c r="E7" s="4">
        <f t="shared" si="6"/>
        <v>126</v>
      </c>
      <c r="F7" s="4">
        <f t="shared" si="6"/>
        <v>136</v>
      </c>
      <c r="G7" s="4"/>
    </row>
  </sheetData>
  <pageMargins left="0.7" right="0.7" top="0.75" bottom="0.75" header="0.3" footer="0.3"/>
  <pageSetup paperSize="9" orientation="portrait" r:id="rId1"/>
  <headerFooter>
    <oddFooter xml:space="preserve">&amp;C_x000D_&amp;1#&amp;"Aptos"&amp;10&amp;K000000 Klassificerad som K2 Intern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29BBCBF21362E4099AE6C2F27C58737" ma:contentTypeVersion="21" ma:contentTypeDescription="Skapa ett nytt dokument." ma:contentTypeScope="" ma:versionID="cbe50b7a9754e0b971c0bf2b4d3395a4">
  <xsd:schema xmlns:xsd="http://www.w3.org/2001/XMLSchema" xmlns:xs="http://www.w3.org/2001/XMLSchema" xmlns:p="http://schemas.microsoft.com/office/2006/metadata/properties" xmlns:ns2="10c3a147-0d64-46aa-a281-dc97358e8373" xmlns:ns3="d7532cd0-e888-47d6-8f58-db0210f25002" targetNamespace="http://schemas.microsoft.com/office/2006/metadata/properties" ma:root="true" ma:fieldsID="b90a4999c242c2f8c58994327ab1b474" ns2:_="" ns3:_="">
    <xsd:import namespace="10c3a147-0d64-46aa-a281-dc97358e8373"/>
    <xsd:import namespace="d7532cd0-e888-47d6-8f58-db0210f25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Godk_x00e4_nd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3a147-0d64-46aa-a281-dc97358e83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Godk_x00e4_nd" ma:index="18" nillable="true" ma:displayName="Godkänd" ma:default="0" ma:format="Dropdown" ma:internalName="Godk_x00e4_nd">
      <xsd:simpleType>
        <xsd:restriction base="dms:Boolea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Bildmarkeringar" ma:readOnly="false" ma:fieldId="{5cf76f15-5ced-4ddc-b409-7134ff3c332f}" ma:taxonomyMulti="true" ma:sspId="e641fc9e-d469-439b-858c-bb315f8f2b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7" nillable="true" ma:displayName="Status" ma:format="RadioButtons" ma:internalName="Status">
      <xsd:simpleType>
        <xsd:restriction base="dms:Choice">
          <xsd:enumeration value="Klar"/>
          <xsd:enumeration value="Gör ej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32cd0-e888-47d6-8f58-db0210f2500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bb681454-5b20-4870-936e-b523090ef0fb}" ma:internalName="TaxCatchAll" ma:showField="CatchAllData" ma:web="d7532cd0-e888-47d6-8f58-db0210f25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odk_x00e4_nd xmlns="10c3a147-0d64-46aa-a281-dc97358e8373">false</Godk_x00e4_nd>
    <lcf76f155ced4ddcb4097134ff3c332f xmlns="10c3a147-0d64-46aa-a281-dc97358e8373">
      <Terms xmlns="http://schemas.microsoft.com/office/infopath/2007/PartnerControls"/>
    </lcf76f155ced4ddcb4097134ff3c332f>
    <TaxCatchAll xmlns="d7532cd0-e888-47d6-8f58-db0210f25002" xsi:nil="true"/>
    <Status xmlns="10c3a147-0d64-46aa-a281-dc97358e8373" xsi:nil="true"/>
  </documentManagement>
</p:properties>
</file>

<file path=customXml/itemProps1.xml><?xml version="1.0" encoding="utf-8"?>
<ds:datastoreItem xmlns:ds="http://schemas.openxmlformats.org/officeDocument/2006/customXml" ds:itemID="{E1546EF2-3DD7-408F-AD1A-0FE6A6443D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c3a147-0d64-46aa-a281-dc97358e8373"/>
    <ds:schemaRef ds:uri="d7532cd0-e888-47d6-8f58-db0210f250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C52DE7-B470-433F-9307-959614C99E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1BDA27-6151-4DE4-AB3B-0347396B59D4}">
  <ds:schemaRefs>
    <ds:schemaRef ds:uri="http://schemas.microsoft.com/office/2006/metadata/properties"/>
    <ds:schemaRef ds:uri="http://schemas.microsoft.com/office/infopath/2007/PartnerControls"/>
    <ds:schemaRef ds:uri="10c3a147-0d64-46aa-a281-dc97358e8373"/>
    <ds:schemaRef ds:uri="d7532cd0-e888-47d6-8f58-db0210f25002"/>
  </ds:schemaRefs>
</ds:datastoreItem>
</file>

<file path=docMetadata/LabelInfo.xml><?xml version="1.0" encoding="utf-8"?>
<clbl:labelList xmlns:clbl="http://schemas.microsoft.com/office/2020/mipLabelMetadata">
  <clbl:label id="{e5c00e12-ec05-481e-bc2e-eb5ba9a2a008}" enabled="1" method="Privileged" siteId="{6dcb3369-af69-4fbf-90b8-54bf80353b6f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Blad1</vt:lpstr>
      <vt:lpstr>Tabellexempel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Hultman</dc:creator>
  <cp:lastModifiedBy>Henrik Hultman</cp:lastModifiedBy>
  <cp:lastPrinted>2025-01-15T12:17:04Z</cp:lastPrinted>
  <dcterms:created xsi:type="dcterms:W3CDTF">2011-11-24T12:28:29Z</dcterms:created>
  <dcterms:modified xsi:type="dcterms:W3CDTF">2026-03-18T16:08:59Z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0x010100129BBCBF21362E4099AE6C2F27C58737</vt:lpwstr>
  </property>
  <property fmtid="{D5CDD505-2E9C-101B-9397-08002B2CF9AE}" pid="3" name="Order">
    <vt:r8>3603200</vt:r8>
  </property>
  <property fmtid="{D5CDD505-2E9C-101B-9397-08002B2CF9AE}" pid="4" name="MediaServiceImageTags">
    <vt:lpwstr/>
  </property>
</Properties>
</file>